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nzegroup-my.sharepoint.com/personal/erickson_lenze_com/Documents/i510 protec Stocking Page/stevenericksonlenze.github.io/"/>
    </mc:Choice>
  </mc:AlternateContent>
  <xr:revisionPtr revIDLastSave="223" documentId="8_{F69383BA-5972-49F5-B6DD-D7AB78917B1D}" xr6:coauthVersionLast="47" xr6:coauthVersionMax="47" xr10:uidLastSave="{11936B99-1851-4A2A-86DE-F553393B3B35}"/>
  <bookViews>
    <workbookView xWindow="165" yWindow="135" windowWidth="17280" windowHeight="15495" xr2:uid="{00000000-000D-0000-FFFF-FFFF00000000}"/>
  </bookViews>
  <sheets>
    <sheet name="IDs" sheetId="1" r:id="rId1"/>
    <sheet name="Key" sheetId="2" r:id="rId2"/>
  </sheets>
  <definedNames>
    <definedName name="_xlnm._FilterDatabase" localSheetId="0" hidden="1">IDs!$L$1:$L$2</definedName>
    <definedName name="FIELDBUS">Key!$B$31:$D$33</definedName>
    <definedName name="MODULE">Key!$B$25:$D$28</definedName>
    <definedName name="PHASE">Key!$B$2:$D$6</definedName>
    <definedName name="POWER">Key!$B$10:$D$18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2" i="1"/>
  <c r="C3" i="1"/>
  <c r="F3" i="1"/>
  <c r="H3" i="1"/>
  <c r="C2" i="1"/>
  <c r="F2" i="1"/>
  <c r="H2" i="1"/>
  <c r="C4" i="1"/>
  <c r="F4" i="1"/>
  <c r="H4" i="1"/>
  <c r="C6" i="1"/>
  <c r="F6" i="1"/>
  <c r="H6" i="1"/>
  <c r="C5" i="1"/>
  <c r="F5" i="1"/>
  <c r="H5" i="1"/>
  <c r="C7" i="1"/>
  <c r="F7" i="1"/>
  <c r="H7" i="1"/>
  <c r="C8" i="1"/>
  <c r="F8" i="1"/>
  <c r="H8" i="1"/>
  <c r="C13" i="1"/>
  <c r="F13" i="1"/>
  <c r="H13" i="1"/>
  <c r="C14" i="1"/>
  <c r="F14" i="1"/>
  <c r="H14" i="1"/>
  <c r="C10" i="1"/>
  <c r="F10" i="1"/>
  <c r="H10" i="1"/>
  <c r="C9" i="1"/>
  <c r="F9" i="1"/>
  <c r="H9" i="1"/>
  <c r="C15" i="1"/>
  <c r="F15" i="1"/>
  <c r="H15" i="1"/>
  <c r="C16" i="1"/>
  <c r="F16" i="1"/>
  <c r="H16" i="1"/>
  <c r="C12" i="1"/>
  <c r="F12" i="1"/>
  <c r="H12" i="1"/>
  <c r="C11" i="1"/>
  <c r="F11" i="1"/>
  <c r="H11" i="1"/>
  <c r="C21" i="1"/>
  <c r="F21" i="1"/>
  <c r="H21" i="1"/>
  <c r="C20" i="1"/>
  <c r="F20" i="1"/>
  <c r="H20" i="1"/>
  <c r="C22" i="1"/>
  <c r="F22" i="1"/>
  <c r="H22" i="1"/>
  <c r="C18" i="1"/>
  <c r="F18" i="1"/>
  <c r="H18" i="1"/>
  <c r="C17" i="1"/>
  <c r="F17" i="1"/>
  <c r="H17" i="1"/>
  <c r="C19" i="1"/>
  <c r="F19" i="1"/>
  <c r="H19" i="1"/>
  <c r="C26" i="1"/>
  <c r="F26" i="1"/>
  <c r="H26" i="1"/>
  <c r="C27" i="1"/>
  <c r="F27" i="1"/>
  <c r="H27" i="1"/>
  <c r="C28" i="1"/>
  <c r="F28" i="1"/>
  <c r="H28" i="1"/>
  <c r="C24" i="1"/>
  <c r="F24" i="1"/>
  <c r="H24" i="1"/>
  <c r="C23" i="1"/>
  <c r="F23" i="1"/>
  <c r="H23" i="1"/>
  <c r="C25" i="1"/>
  <c r="F25" i="1"/>
  <c r="H25" i="1"/>
  <c r="C31" i="1"/>
  <c r="F31" i="1"/>
  <c r="H31" i="1"/>
  <c r="C32" i="1"/>
  <c r="F32" i="1"/>
  <c r="H32" i="1"/>
  <c r="C29" i="1"/>
  <c r="F29" i="1"/>
  <c r="H29" i="1"/>
  <c r="C33" i="1"/>
  <c r="F33" i="1"/>
  <c r="H33" i="1"/>
  <c r="C34" i="1"/>
  <c r="F34" i="1"/>
  <c r="H34" i="1"/>
  <c r="C30" i="1"/>
  <c r="F30" i="1"/>
  <c r="H30" i="1"/>
  <c r="C36" i="1"/>
  <c r="F36" i="1"/>
  <c r="H36" i="1"/>
  <c r="C35" i="1"/>
  <c r="F35" i="1"/>
  <c r="H35" i="1"/>
  <c r="C37" i="1"/>
  <c r="F37" i="1"/>
  <c r="H37" i="1"/>
  <c r="C39" i="1"/>
  <c r="F39" i="1"/>
  <c r="H39" i="1"/>
  <c r="C38" i="1"/>
  <c r="F38" i="1"/>
  <c r="H38" i="1"/>
  <c r="C40" i="1"/>
  <c r="F40" i="1"/>
  <c r="H40" i="1"/>
  <c r="C45" i="1"/>
  <c r="F45" i="1"/>
  <c r="H45" i="1"/>
  <c r="C41" i="1"/>
  <c r="F41" i="1"/>
  <c r="H41" i="1"/>
  <c r="C44" i="1"/>
  <c r="F44" i="1"/>
  <c r="H44" i="1"/>
  <c r="C42" i="1"/>
  <c r="F42" i="1"/>
  <c r="H42" i="1"/>
  <c r="C43" i="1"/>
  <c r="F43" i="1"/>
  <c r="H43" i="1"/>
  <c r="C46" i="1"/>
  <c r="F46" i="1"/>
  <c r="H46" i="1"/>
  <c r="C48" i="1"/>
  <c r="F48" i="1"/>
  <c r="H48" i="1"/>
  <c r="C47" i="1"/>
  <c r="F47" i="1"/>
  <c r="H47" i="1"/>
  <c r="C49" i="1"/>
  <c r="F49" i="1"/>
  <c r="H49" i="1"/>
</calcChain>
</file>

<file path=xl/sharedStrings.xml><?xml version="1.0" encoding="utf-8"?>
<sst xmlns="http://schemas.openxmlformats.org/spreadsheetml/2006/main" count="406" uniqueCount="178">
  <si>
    <t>I51AP175A00001000S</t>
  </si>
  <si>
    <t>I51AP175D00001003S</t>
  </si>
  <si>
    <t>I51AP240F00001002S</t>
  </si>
  <si>
    <t>I51AP222D00001003S</t>
  </si>
  <si>
    <t>I51AP175F00001000S</t>
  </si>
  <si>
    <t>I51AP215F00001000S</t>
  </si>
  <si>
    <t>I51AP222F00001000S</t>
  </si>
  <si>
    <t>I51AP222D00001000S</t>
  </si>
  <si>
    <t>I51AP240C00001000S</t>
  </si>
  <si>
    <t>I51AP175A00001003S</t>
  </si>
  <si>
    <t>I51AP240F00001000S</t>
  </si>
  <si>
    <t>I51AP137A00001002S</t>
  </si>
  <si>
    <t>I51AP137A00001000S</t>
  </si>
  <si>
    <t>I51AP137A00001003S</t>
  </si>
  <si>
    <t>I51AP175A00001002S</t>
  </si>
  <si>
    <t>I51AP230C00001002S</t>
  </si>
  <si>
    <t>I51AP230C00001000S</t>
  </si>
  <si>
    <t>I51AP230C00001003S</t>
  </si>
  <si>
    <t>I51AP240C00001002S</t>
  </si>
  <si>
    <t>I51AP240C00001003S</t>
  </si>
  <si>
    <t>I51AP175F00001002S</t>
  </si>
  <si>
    <t>I51AP175F00001003S</t>
  </si>
  <si>
    <t>I51AP211F00001002S</t>
  </si>
  <si>
    <t>I51AP211F00001000S</t>
  </si>
  <si>
    <t>I51AP211F00001003S</t>
  </si>
  <si>
    <t>I51AP215F00001002S</t>
  </si>
  <si>
    <t>I51AP215F00001003S</t>
  </si>
  <si>
    <t>I51AP222F00001002S</t>
  </si>
  <si>
    <t>I51AP222F00001003S</t>
  </si>
  <si>
    <t>I51AP230F00001002S</t>
  </si>
  <si>
    <t>I51AP230F00001000S</t>
  </si>
  <si>
    <t>I51AP230F00001003S</t>
  </si>
  <si>
    <t>I51AP240F00001003S</t>
  </si>
  <si>
    <t>I51AP255F00001002S</t>
  </si>
  <si>
    <t>I51AP255F00001000S</t>
  </si>
  <si>
    <t>I51AP255F00001003S</t>
  </si>
  <si>
    <t>I51AP137D00001002S</t>
  </si>
  <si>
    <t>I51AP137D00001000S</t>
  </si>
  <si>
    <t>I51AP137D00001003S</t>
  </si>
  <si>
    <t>I51AP175D00001002S</t>
  </si>
  <si>
    <t>I51AP175D00001000S</t>
  </si>
  <si>
    <t>I51AP211D00001002S</t>
  </si>
  <si>
    <t>I51AP211D00001000S</t>
  </si>
  <si>
    <t>I51AP211D00001003S</t>
  </si>
  <si>
    <t>I51AP215D00001002S</t>
  </si>
  <si>
    <t>I51AP215D00001000S</t>
  </si>
  <si>
    <t>I51AP215D00001003S</t>
  </si>
  <si>
    <t>I51AP222D00001002S</t>
  </si>
  <si>
    <t>Power</t>
  </si>
  <si>
    <t>Voltage &amp; Phase:</t>
  </si>
  <si>
    <t>Type Code</t>
  </si>
  <si>
    <t>Filter</t>
  </si>
  <si>
    <t>i510 IP20</t>
  </si>
  <si>
    <t>1ph 120V</t>
  </si>
  <si>
    <t>A</t>
  </si>
  <si>
    <t>1ph 120v</t>
  </si>
  <si>
    <t>1ph 230V</t>
  </si>
  <si>
    <t>B</t>
  </si>
  <si>
    <t>1/3ph 230V</t>
  </si>
  <si>
    <t>D</t>
  </si>
  <si>
    <t>3ph 230V</t>
  </si>
  <si>
    <t>C</t>
  </si>
  <si>
    <t>3ph 400/480V</t>
  </si>
  <si>
    <t>F</t>
  </si>
  <si>
    <t>Rated Power:</t>
  </si>
  <si>
    <t>Voltage</t>
  </si>
  <si>
    <t>Price</t>
  </si>
  <si>
    <t>0.37 kW, 0.50 hp</t>
  </si>
  <si>
    <t>137</t>
  </si>
  <si>
    <t>137A</t>
  </si>
  <si>
    <t>0.55 kW, 0.75 hp</t>
  </si>
  <si>
    <t>155</t>
  </si>
  <si>
    <t>0.75 kW, 1.0 hp</t>
  </si>
  <si>
    <t>175A</t>
  </si>
  <si>
    <t>175</t>
  </si>
  <si>
    <t>137D</t>
  </si>
  <si>
    <t>1.1 kW, 1.5 hp</t>
  </si>
  <si>
    <t>211</t>
  </si>
  <si>
    <t>175D</t>
  </si>
  <si>
    <t>1.5 kW, 2.0 hp</t>
  </si>
  <si>
    <t>215</t>
  </si>
  <si>
    <t>211D</t>
  </si>
  <si>
    <t>2.2 kW, 3.0 hp</t>
  </si>
  <si>
    <t>222</t>
  </si>
  <si>
    <t>215D</t>
  </si>
  <si>
    <t>3.0 kW, 4.0 hp</t>
  </si>
  <si>
    <t>230</t>
  </si>
  <si>
    <t>222D</t>
  </si>
  <si>
    <t>4.0 kW, 5.0 hp</t>
  </si>
  <si>
    <t>240</t>
  </si>
  <si>
    <t>230C</t>
  </si>
  <si>
    <t>5.5 kW, 7.5 hp</t>
  </si>
  <si>
    <t>255</t>
  </si>
  <si>
    <t>240C</t>
  </si>
  <si>
    <t>175F</t>
  </si>
  <si>
    <t>211F</t>
  </si>
  <si>
    <t>215F</t>
  </si>
  <si>
    <t>222F</t>
  </si>
  <si>
    <t>230F</t>
  </si>
  <si>
    <t>240F</t>
  </si>
  <si>
    <t>255F</t>
  </si>
  <si>
    <t>0</t>
  </si>
  <si>
    <t>1</t>
  </si>
  <si>
    <t>Interference suppression:</t>
  </si>
  <si>
    <t>Without</t>
  </si>
  <si>
    <t>Integrated RFI filter</t>
  </si>
  <si>
    <t>Diagnostics</t>
  </si>
  <si>
    <t>without Diagnostic module</t>
  </si>
  <si>
    <t>LCD Keypad module</t>
  </si>
  <si>
    <t>K</t>
  </si>
  <si>
    <t>WLAN module</t>
  </si>
  <si>
    <t>W</t>
  </si>
  <si>
    <t>I/O, fieldbus variations</t>
  </si>
  <si>
    <t>Standard I/O</t>
  </si>
  <si>
    <t>00S</t>
  </si>
  <si>
    <t>CANopen</t>
  </si>
  <si>
    <t>02S</t>
  </si>
  <si>
    <t>Modbus RTU</t>
  </si>
  <si>
    <t>03S</t>
  </si>
  <si>
    <t>Series</t>
  </si>
  <si>
    <t>i510 protec</t>
  </si>
  <si>
    <t>I51AP</t>
  </si>
  <si>
    <t>i550 protec</t>
  </si>
  <si>
    <t>I55AP</t>
  </si>
  <si>
    <t>USB module</t>
  </si>
  <si>
    <t>U</t>
  </si>
  <si>
    <t>without diagnostic module</t>
  </si>
  <si>
    <t>0.37 kW</t>
  </si>
  <si>
    <t>0.50 hp</t>
  </si>
  <si>
    <t>0.55 kW</t>
  </si>
  <si>
    <t>0.75 hp</t>
  </si>
  <si>
    <t>0.75 kW</t>
  </si>
  <si>
    <t>1.0 hp</t>
  </si>
  <si>
    <t>1.1 kW</t>
  </si>
  <si>
    <t>1.5 hp</t>
  </si>
  <si>
    <t>1.5 kW</t>
  </si>
  <si>
    <t>2.0 hp</t>
  </si>
  <si>
    <t>2.2 kW</t>
  </si>
  <si>
    <t>3.0 hp</t>
  </si>
  <si>
    <t>3.0 kW</t>
  </si>
  <si>
    <t>4.0 hp</t>
  </si>
  <si>
    <t>4.0 kW</t>
  </si>
  <si>
    <t>5.0 hp</t>
  </si>
  <si>
    <t>5.5 kW</t>
  </si>
  <si>
    <t>7.5 hp</t>
  </si>
  <si>
    <t>product/phase</t>
  </si>
  <si>
    <t>product/fieldbus</t>
  </si>
  <si>
    <t>product/stock</t>
  </si>
  <si>
    <t>update/timestamp</t>
  </si>
  <si>
    <t>product/material_id</t>
  </si>
  <si>
    <t>product/type_code</t>
  </si>
  <si>
    <t>product/power_hp</t>
  </si>
  <si>
    <t>product/power_kw</t>
  </si>
  <si>
    <t>product/power_hp_cat</t>
  </si>
  <si>
    <t>0.50hp</t>
  </si>
  <si>
    <t>1.0hp</t>
  </si>
  <si>
    <t>1.5hp</t>
  </si>
  <si>
    <t>2.0hp</t>
  </si>
  <si>
    <t>3.0hp</t>
  </si>
  <si>
    <t>4.0hp</t>
  </si>
  <si>
    <t>5.0hp</t>
  </si>
  <si>
    <t>7.5hp</t>
  </si>
  <si>
    <t>1ph120v</t>
  </si>
  <si>
    <t>3ph230v</t>
  </si>
  <si>
    <t>1_3ph230v</t>
  </si>
  <si>
    <t>3ph400_480v</t>
  </si>
  <si>
    <t>canopen</t>
  </si>
  <si>
    <t>modbusrtu</t>
  </si>
  <si>
    <t>standardio</t>
  </si>
  <si>
    <t>none</t>
  </si>
  <si>
    <t>product/phase_cat</t>
  </si>
  <si>
    <t>product/fieldbus_cat</t>
  </si>
  <si>
    <t>product/module_cat</t>
  </si>
  <si>
    <t>1 AC 120 V</t>
  </si>
  <si>
    <t>1 AC 230/240 V</t>
  </si>
  <si>
    <t>1 or 3 AC 230/240 V</t>
  </si>
  <si>
    <t>3 AC 230/240 V</t>
  </si>
  <si>
    <t>3 AV 400/480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</si>
</sst>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409]* #,##0.00_ ;_-[$$-409]* \-#,##0.00\ ;_-[$$-409]* &quot;-&quot;??_ ;_-@_ "/>
    <numFmt numFmtId="166" formatCode="dddd\,\ mmmm\ d\,\ yyyy\ \a\t\ h:mm\ AM/PM"/>
  </numFmts>
  <fonts count="5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 applyAlignment="1">
      <alignment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3" fillId="0" borderId="0" xfId="0" applyFont="1"/>
    <xf numFmtId="0" fontId="3" fillId="0" borderId="0" xfId="0" quotePrefix="1" applyFont="1"/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/>
    <xf numFmtId="0" fontId="4" fillId="0" borderId="0" xfId="0" applyFont="1" applyAlignment="1">
      <alignment horizontal="center"/>
    </xf>
    <xf numFmtId="44" fontId="4" fillId="0" borderId="0" xfId="1" applyFont="1" applyFill="1"/>
    <xf numFmtId="164" fontId="4" fillId="0" borderId="0" xfId="0" applyNumberFormat="1" applyFont="1"/>
    <xf numFmtId="165" fontId="4" fillId="0" borderId="0" xfId="1" applyNumberFormat="1" applyFont="1" applyFill="1"/>
    <xf numFmtId="166" fontId="2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center"/>
    </xf>
    <xf numFmtId="0" fontId="4" fillId="0" borderId="0" xfId="0" applyFont="1" applyAlignme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276225</xdr:colOff>
      <xdr:row>2</xdr:row>
      <xdr:rowOff>104775</xdr:rowOff>
    </xdr:from>
    <xdr:to>
      <xdr:col>12</xdr:col>
      <xdr:colOff>161925</xdr:colOff>
      <xdr:row>7</xdr:row>
      <xdr:rowOff>28575</xdr:rowOff>
    </xdr:to>
    <xdr:sp macro="[0]!ExportStock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C55EE6-BCA3-6F99-C3E0-6B9FD79DC941}"/>
            </a:ext>
          </a:extLst>
        </xdr:cNvPr>
        <xdr:cNvSpPr/>
      </xdr:nvSpPr>
      <xdr:spPr>
        <a:xfrm>
          <a:off x="8848725" y="428625"/>
          <a:ext cx="2914650" cy="7334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Export</a:t>
          </a:r>
          <a:r>
            <a:rPr lang="en-US" sz="2800" b="1" baseline="0"/>
            <a:t> Stock</a:t>
          </a:r>
          <a:r>
            <a:rPr lang="en-US" sz="2800" b="1"/>
            <a:t> CSV</a:t>
          </a:r>
        </a:p>
      </xdr:txBody>
    </xdr:sp>
    <xdr:clientData/>
  </xdr:twoCellAnchor>
  <xdr:twoCellAnchor editAs="absolute">
    <xdr:from>
      <xdr:col>11</xdr:col>
      <xdr:colOff>304800</xdr:colOff>
      <xdr:row>8</xdr:row>
      <xdr:rowOff>9526</xdr:rowOff>
    </xdr:from>
    <xdr:to>
      <xdr:col>12</xdr:col>
      <xdr:colOff>981075</xdr:colOff>
      <xdr:row>11</xdr:row>
      <xdr:rowOff>152401</xdr:rowOff>
    </xdr:to>
    <xdr:sp macro="[0]!ExportTimeStamp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53BCC2-D661-0A93-D822-24C55E6033C0}"/>
            </a:ext>
          </a:extLst>
        </xdr:cNvPr>
        <xdr:cNvSpPr/>
      </xdr:nvSpPr>
      <xdr:spPr>
        <a:xfrm>
          <a:off x="8877300" y="1304926"/>
          <a:ext cx="3705225" cy="62865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chemeClr val="lt1"/>
              </a:solidFill>
              <a:latin typeface="+mn-lt"/>
              <a:ea typeface="+mn-ea"/>
              <a:cs typeface="+mn-cs"/>
            </a:rPr>
            <a:t>Export Timestamp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9"/>
  <sheetViews>
    <sheetView tabSelected="1" workbookViewId="0">
      <selection activeCell="F2" sqref="F2"/>
    </sheetView>
  </sheetViews>
  <sheetFormatPr defaultRowHeight="12.75" x14ac:dyDescent="0.2"/>
  <cols>
    <col min="1" max="1" width="11.5703125" style="1" customWidth="1"/>
    <col min="2" max="2" width="19.5703125" style="1" bestFit="1" customWidth="1"/>
    <col min="3" max="3" width="7" style="2" customWidth="1"/>
    <col min="4" max="4" width="4.7109375" style="2" customWidth="1"/>
    <col min="5" max="5" width="8.28515625" style="2" customWidth="1"/>
    <col min="6" max="6" width="12.5703125" style="2" bestFit="1" customWidth="1"/>
    <col min="7" max="7" width="13" style="2" customWidth="1"/>
    <col min="8" max="8" width="14.42578125" style="2" bestFit="1" customWidth="1"/>
    <col min="9" max="9" width="14.42578125" style="2" customWidth="1"/>
    <col min="10" max="10" width="8.7109375" style="2" customWidth="1"/>
    <col min="11" max="11" width="14.28515625" style="2" bestFit="1" customWidth="1"/>
    <col min="12" max="12" width="45.42578125" style="2" customWidth="1"/>
    <col min="13" max="13" width="33.28515625" style="2" bestFit="1" customWidth="1"/>
    <col min="14" max="16384" width="9.140625" style="2"/>
  </cols>
  <sheetData>
    <row r="1" spans="1:12" x14ac:dyDescent="0.2">
      <c r="A1" s="1" t="s">
        <v>149</v>
      </c>
      <c r="B1" s="1" t="s">
        <v>150</v>
      </c>
      <c r="C1" s="1" t="s">
        <v>151</v>
      </c>
      <c r="D1" s="1" t="s">
        <v>153</v>
      </c>
      <c r="E1" s="1" t="s">
        <v>152</v>
      </c>
      <c r="F1" s="1" t="s">
        <v>145</v>
      </c>
      <c r="G1" s="1" t="s">
        <v>170</v>
      </c>
      <c r="H1" s="1" t="s">
        <v>146</v>
      </c>
      <c r="I1" s="1" t="s">
        <v>171</v>
      </c>
      <c r="J1" s="1" t="s">
        <v>172</v>
      </c>
      <c r="K1" s="2" t="s">
        <v>147</v>
      </c>
      <c r="L1" s="2" t="s">
        <v>148</v>
      </c>
    </row>
    <row r="2" spans="1:12" x14ac:dyDescent="0.2">
      <c r="A2" s="1">
        <v>16559175</v>
      </c>
      <c r="B2" s="1" t="s">
        <v>12</v>
      </c>
      <c r="C2" s="1" t="str">
        <f t="shared" ref="C2:C10" si="0">VLOOKUP(MID(B2,6,3),POWER,3,FALSE)</f>
        <v>0.50 hp</v>
      </c>
      <c r="D2" s="1" t="s">
        <v>154</v>
      </c>
      <c r="E2" s="1" t="str">
        <f t="shared" ref="E2:E10" si="1">VLOOKUP(MID(B2,6,3),POWER,2,FALSE)</f>
        <v>0.37 kW</v>
      </c>
      <c r="F2" s="1" t="str">
        <f t="shared" ref="F2:F10" si="2">VLOOKUP(MID(B2,9,1),PHASE,3,FALSE)</f>
        <v>1 AC 120 V</v>
      </c>
      <c r="G2" s="1" t="s">
        <v>162</v>
      </c>
      <c r="H2" s="1" t="str">
        <f t="shared" ref="H2:H10" si="3">VLOOKUP(MID(B2,16,3),FIELDBUS,3,FALSE)</f>
        <v>Standard I/O</v>
      </c>
      <c r="I2" s="1" t="s">
        <v>168</v>
      </c>
      <c r="J2" s="1" t="s">
        <v>169</v>
      </c>
      <c r="K2" s="2">
        <v>104</v>
      </c>
      <c r="L2" s="12">
        <f ca="1">NOW()</f>
        <v>44820.671849768521</v>
      </c>
    </row>
    <row r="3" spans="1:12" x14ac:dyDescent="0.2">
      <c r="A3" s="1">
        <v>16559174</v>
      </c>
      <c r="B3" s="1" t="s">
        <v>11</v>
      </c>
      <c r="C3" s="1" t="str">
        <f t="shared" si="0"/>
        <v>0.50 hp</v>
      </c>
      <c r="D3" s="1" t="s">
        <v>154</v>
      </c>
      <c r="E3" s="1" t="str">
        <f t="shared" si="1"/>
        <v>0.37 kW</v>
      </c>
      <c r="F3" s="1" t="str">
        <f t="shared" si="2"/>
        <v>1 AC 120 V</v>
      </c>
      <c r="G3" s="1" t="s">
        <v>162</v>
      </c>
      <c r="H3" s="1" t="str">
        <f t="shared" si="3"/>
        <v>CANopen</v>
      </c>
      <c r="I3" s="1" t="s">
        <v>166</v>
      </c>
      <c r="J3" s="1" t="s">
        <v>169</v>
      </c>
      <c r="K3" s="2">
        <v>7</v>
      </c>
    </row>
    <row r="4" spans="1:12" x14ac:dyDescent="0.2">
      <c r="A4" s="1">
        <v>16559178</v>
      </c>
      <c r="B4" s="1" t="s">
        <v>13</v>
      </c>
      <c r="C4" s="1" t="str">
        <f t="shared" si="0"/>
        <v>0.50 hp</v>
      </c>
      <c r="D4" s="1" t="s">
        <v>154</v>
      </c>
      <c r="E4" s="1" t="str">
        <f t="shared" si="1"/>
        <v>0.37 kW</v>
      </c>
      <c r="F4" s="1" t="str">
        <f t="shared" si="2"/>
        <v>1 AC 120 V</v>
      </c>
      <c r="G4" s="1" t="s">
        <v>162</v>
      </c>
      <c r="H4" s="1" t="str">
        <f t="shared" si="3"/>
        <v>Modbus RTU</v>
      </c>
      <c r="I4" s="1" t="s">
        <v>167</v>
      </c>
      <c r="J4" s="1" t="s">
        <v>169</v>
      </c>
      <c r="K4" s="2">
        <v>37</v>
      </c>
    </row>
    <row r="5" spans="1:12" x14ac:dyDescent="0.2">
      <c r="A5" s="1">
        <v>16559477</v>
      </c>
      <c r="B5" s="1" t="s">
        <v>37</v>
      </c>
      <c r="C5" s="1" t="str">
        <f t="shared" si="0"/>
        <v>0.50 hp</v>
      </c>
      <c r="D5" s="1" t="s">
        <v>154</v>
      </c>
      <c r="E5" s="1" t="str">
        <f t="shared" si="1"/>
        <v>0.37 kW</v>
      </c>
      <c r="F5" s="1" t="str">
        <f t="shared" si="2"/>
        <v>1 or 3 AC 230/240 V</v>
      </c>
      <c r="G5" s="1" t="s">
        <v>164</v>
      </c>
      <c r="H5" s="1" t="str">
        <f t="shared" si="3"/>
        <v>Standard I/O</v>
      </c>
      <c r="I5" s="1" t="s">
        <v>168</v>
      </c>
      <c r="J5" s="1" t="s">
        <v>169</v>
      </c>
      <c r="K5" s="2">
        <v>32</v>
      </c>
    </row>
    <row r="6" spans="1:12" x14ac:dyDescent="0.2">
      <c r="A6" s="1">
        <v>16559476</v>
      </c>
      <c r="B6" s="1" t="s">
        <v>36</v>
      </c>
      <c r="C6" s="1" t="str">
        <f t="shared" si="0"/>
        <v>0.50 hp</v>
      </c>
      <c r="D6" s="1" t="s">
        <v>154</v>
      </c>
      <c r="E6" s="1" t="str">
        <f t="shared" si="1"/>
        <v>0.37 kW</v>
      </c>
      <c r="F6" s="1" t="str">
        <f t="shared" si="2"/>
        <v>1 or 3 AC 230/240 V</v>
      </c>
      <c r="G6" s="1" t="s">
        <v>164</v>
      </c>
      <c r="H6" s="1" t="str">
        <f t="shared" si="3"/>
        <v>CANopen</v>
      </c>
      <c r="I6" s="1" t="s">
        <v>166</v>
      </c>
      <c r="J6" s="1" t="s">
        <v>169</v>
      </c>
      <c r="K6" s="2">
        <v>2</v>
      </c>
    </row>
    <row r="7" spans="1:12" x14ac:dyDescent="0.2">
      <c r="A7" s="1">
        <v>16559478</v>
      </c>
      <c r="B7" s="1" t="s">
        <v>38</v>
      </c>
      <c r="C7" s="1" t="str">
        <f t="shared" si="0"/>
        <v>0.50 hp</v>
      </c>
      <c r="D7" s="1" t="s">
        <v>154</v>
      </c>
      <c r="E7" s="1" t="str">
        <f t="shared" si="1"/>
        <v>0.37 kW</v>
      </c>
      <c r="F7" s="1" t="str">
        <f t="shared" si="2"/>
        <v>1 or 3 AC 230/240 V</v>
      </c>
      <c r="G7" s="1" t="s">
        <v>164</v>
      </c>
      <c r="H7" s="1" t="str">
        <f t="shared" si="3"/>
        <v>Modbus RTU</v>
      </c>
      <c r="I7" s="1" t="s">
        <v>167</v>
      </c>
      <c r="J7" s="1" t="s">
        <v>169</v>
      </c>
      <c r="K7" s="2">
        <v>60</v>
      </c>
    </row>
    <row r="8" spans="1:12" x14ac:dyDescent="0.2">
      <c r="A8" s="1">
        <v>16504265</v>
      </c>
      <c r="B8" s="1" t="s">
        <v>0</v>
      </c>
      <c r="C8" s="1" t="str">
        <f t="shared" si="0"/>
        <v>1.0 hp</v>
      </c>
      <c r="D8" s="1" t="s">
        <v>155</v>
      </c>
      <c r="E8" s="1" t="str">
        <f t="shared" si="1"/>
        <v>0.75 kW</v>
      </c>
      <c r="F8" s="1" t="str">
        <f t="shared" si="2"/>
        <v>1 AC 120 V</v>
      </c>
      <c r="G8" s="1" t="s">
        <v>162</v>
      </c>
      <c r="H8" s="1" t="str">
        <f t="shared" si="3"/>
        <v>Standard I/O</v>
      </c>
      <c r="I8" s="1" t="s">
        <v>168</v>
      </c>
      <c r="J8" s="1" t="s">
        <v>169</v>
      </c>
      <c r="K8" s="2">
        <v>187</v>
      </c>
    </row>
    <row r="9" spans="1:12" x14ac:dyDescent="0.2">
      <c r="A9" s="1">
        <v>16559180</v>
      </c>
      <c r="B9" s="1" t="s">
        <v>14</v>
      </c>
      <c r="C9" s="1" t="str">
        <f t="shared" si="0"/>
        <v>1.0 hp</v>
      </c>
      <c r="D9" s="1" t="s">
        <v>155</v>
      </c>
      <c r="E9" s="1" t="str">
        <f t="shared" si="1"/>
        <v>0.75 kW</v>
      </c>
      <c r="F9" s="1" t="str">
        <f t="shared" si="2"/>
        <v>1 AC 120 V</v>
      </c>
      <c r="G9" s="1" t="s">
        <v>162</v>
      </c>
      <c r="H9" s="1" t="str">
        <f t="shared" si="3"/>
        <v>CANopen</v>
      </c>
      <c r="I9" s="1" t="s">
        <v>166</v>
      </c>
      <c r="J9" s="1" t="s">
        <v>169</v>
      </c>
      <c r="K9" s="2">
        <v>12</v>
      </c>
    </row>
    <row r="10" spans="1:12" x14ac:dyDescent="0.2">
      <c r="A10" s="1">
        <v>16531090</v>
      </c>
      <c r="B10" s="1" t="s">
        <v>9</v>
      </c>
      <c r="C10" s="1" t="str">
        <f t="shared" si="0"/>
        <v>1.0 hp</v>
      </c>
      <c r="D10" s="1" t="s">
        <v>155</v>
      </c>
      <c r="E10" s="1" t="str">
        <f t="shared" si="1"/>
        <v>0.75 kW</v>
      </c>
      <c r="F10" s="1" t="str">
        <f t="shared" si="2"/>
        <v>1 AC 120 V</v>
      </c>
      <c r="G10" s="1" t="s">
        <v>162</v>
      </c>
      <c r="H10" s="1" t="str">
        <f t="shared" si="3"/>
        <v>Modbus RTU</v>
      </c>
      <c r="I10" s="1" t="s">
        <v>167</v>
      </c>
      <c r="J10" s="1" t="s">
        <v>169</v>
      </c>
      <c r="K10" s="2">
        <v>0</v>
      </c>
    </row>
    <row r="11" spans="1:12" x14ac:dyDescent="0.2">
      <c r="A11" s="1">
        <v>16559481</v>
      </c>
      <c r="B11" s="1" t="s">
        <v>40</v>
      </c>
      <c r="C11" s="1" t="str">
        <f t="shared" ref="C11:C19" si="4">VLOOKUP(MID(B11,6,3),POWER,3,FALSE)</f>
        <v>1.0 hp</v>
      </c>
      <c r="D11" s="1" t="s">
        <v>155</v>
      </c>
      <c r="E11" s="1" t="str">
        <f t="shared" ref="E11:E19" si="5">VLOOKUP(MID(B11,6,3),POWER,2,FALSE)</f>
        <v>0.75 kW</v>
      </c>
      <c r="F11" s="1" t="str">
        <f t="shared" ref="F11:F19" si="6">VLOOKUP(MID(B11,9,1),PHASE,3,FALSE)</f>
        <v>1 or 3 AC 230/240 V</v>
      </c>
      <c r="G11" s="1" t="s">
        <v>164</v>
      </c>
      <c r="H11" s="1" t="str">
        <f t="shared" ref="H11:H19" si="7">VLOOKUP(MID(B11,16,3),FIELDBUS,3,FALSE)</f>
        <v>Standard I/O</v>
      </c>
      <c r="I11" s="1" t="s">
        <v>168</v>
      </c>
      <c r="J11" s="1" t="s">
        <v>169</v>
      </c>
      <c r="K11" s="2">
        <v>157</v>
      </c>
    </row>
    <row r="12" spans="1:12" x14ac:dyDescent="0.2">
      <c r="A12" s="1">
        <v>16559480</v>
      </c>
      <c r="B12" s="1" t="s">
        <v>39</v>
      </c>
      <c r="C12" s="1" t="str">
        <f t="shared" si="4"/>
        <v>1.0 hp</v>
      </c>
      <c r="D12" s="1" t="s">
        <v>155</v>
      </c>
      <c r="E12" s="1" t="str">
        <f t="shared" si="5"/>
        <v>0.75 kW</v>
      </c>
      <c r="F12" s="1" t="str">
        <f t="shared" si="6"/>
        <v>1 or 3 AC 230/240 V</v>
      </c>
      <c r="G12" s="1" t="s">
        <v>164</v>
      </c>
      <c r="H12" s="1" t="str">
        <f t="shared" si="7"/>
        <v>CANopen</v>
      </c>
      <c r="I12" s="1" t="s">
        <v>166</v>
      </c>
      <c r="J12" s="1" t="s">
        <v>169</v>
      </c>
      <c r="K12" s="2">
        <v>12</v>
      </c>
    </row>
    <row r="13" spans="1:12" x14ac:dyDescent="0.2">
      <c r="A13" s="1">
        <v>16504267</v>
      </c>
      <c r="B13" s="1" t="s">
        <v>1</v>
      </c>
      <c r="C13" s="1" t="str">
        <f t="shared" si="4"/>
        <v>1.0 hp</v>
      </c>
      <c r="D13" s="1" t="s">
        <v>155</v>
      </c>
      <c r="E13" s="1" t="str">
        <f t="shared" si="5"/>
        <v>0.75 kW</v>
      </c>
      <c r="F13" s="1" t="str">
        <f t="shared" si="6"/>
        <v>1 or 3 AC 230/240 V</v>
      </c>
      <c r="G13" s="1" t="s">
        <v>164</v>
      </c>
      <c r="H13" s="1" t="str">
        <f t="shared" si="7"/>
        <v>Modbus RTU</v>
      </c>
      <c r="I13" s="1" t="s">
        <v>167</v>
      </c>
      <c r="J13" s="1" t="s">
        <v>169</v>
      </c>
      <c r="K13" s="2">
        <v>60</v>
      </c>
    </row>
    <row r="14" spans="1:12" x14ac:dyDescent="0.2">
      <c r="A14" s="1">
        <v>16515111</v>
      </c>
      <c r="B14" s="1" t="s">
        <v>4</v>
      </c>
      <c r="C14" s="1" t="str">
        <f t="shared" si="4"/>
        <v>1.0 hp</v>
      </c>
      <c r="D14" s="1" t="s">
        <v>155</v>
      </c>
      <c r="E14" s="1" t="str">
        <f t="shared" si="5"/>
        <v>0.75 kW</v>
      </c>
      <c r="F14" s="1" t="str">
        <f t="shared" si="6"/>
        <v>3 AV 400/480 V</v>
      </c>
      <c r="G14" s="1" t="s">
        <v>165</v>
      </c>
      <c r="H14" s="1" t="str">
        <f t="shared" si="7"/>
        <v>Standard I/O</v>
      </c>
      <c r="I14" s="1" t="s">
        <v>168</v>
      </c>
      <c r="J14" s="1" t="s">
        <v>169</v>
      </c>
      <c r="K14" s="2">
        <v>68</v>
      </c>
    </row>
    <row r="15" spans="1:12" x14ac:dyDescent="0.2">
      <c r="A15" s="1">
        <v>16559249</v>
      </c>
      <c r="B15" s="1" t="s">
        <v>20</v>
      </c>
      <c r="C15" s="1" t="str">
        <f t="shared" si="4"/>
        <v>1.0 hp</v>
      </c>
      <c r="D15" s="1" t="s">
        <v>155</v>
      </c>
      <c r="E15" s="1" t="str">
        <f t="shared" si="5"/>
        <v>0.75 kW</v>
      </c>
      <c r="F15" s="1" t="str">
        <f t="shared" si="6"/>
        <v>3 AV 400/480 V</v>
      </c>
      <c r="G15" s="1" t="s">
        <v>165</v>
      </c>
      <c r="H15" s="1" t="str">
        <f t="shared" si="7"/>
        <v>CANopen</v>
      </c>
      <c r="I15" s="1" t="s">
        <v>166</v>
      </c>
      <c r="J15" s="1" t="s">
        <v>169</v>
      </c>
      <c r="K15" s="2">
        <v>5</v>
      </c>
    </row>
    <row r="16" spans="1:12" x14ac:dyDescent="0.2">
      <c r="A16" s="1">
        <v>16559251</v>
      </c>
      <c r="B16" s="1" t="s">
        <v>21</v>
      </c>
      <c r="C16" s="1" t="str">
        <f t="shared" si="4"/>
        <v>1.0 hp</v>
      </c>
      <c r="D16" s="1" t="s">
        <v>155</v>
      </c>
      <c r="E16" s="1" t="str">
        <f t="shared" si="5"/>
        <v>0.75 kW</v>
      </c>
      <c r="F16" s="1" t="str">
        <f t="shared" si="6"/>
        <v>3 AV 400/480 V</v>
      </c>
      <c r="G16" s="1" t="s">
        <v>165</v>
      </c>
      <c r="H16" s="1" t="str">
        <f t="shared" si="7"/>
        <v>Modbus RTU</v>
      </c>
      <c r="I16" s="1" t="s">
        <v>167</v>
      </c>
      <c r="J16" s="1" t="s">
        <v>169</v>
      </c>
      <c r="K16" s="2">
        <v>24</v>
      </c>
    </row>
    <row r="17" spans="1:11" x14ac:dyDescent="0.2">
      <c r="A17" s="1">
        <v>16559484</v>
      </c>
      <c r="B17" s="1" t="s">
        <v>42</v>
      </c>
      <c r="C17" s="1" t="str">
        <f t="shared" si="4"/>
        <v>1.5 hp</v>
      </c>
      <c r="D17" s="1" t="s">
        <v>156</v>
      </c>
      <c r="E17" s="1" t="str">
        <f t="shared" si="5"/>
        <v>1.1 kW</v>
      </c>
      <c r="F17" s="1" t="str">
        <f t="shared" si="6"/>
        <v>1 or 3 AC 230/240 V</v>
      </c>
      <c r="G17" s="1" t="s">
        <v>164</v>
      </c>
      <c r="H17" s="1" t="str">
        <f t="shared" si="7"/>
        <v>Standard I/O</v>
      </c>
      <c r="I17" s="1" t="s">
        <v>168</v>
      </c>
      <c r="J17" s="1" t="s">
        <v>169</v>
      </c>
      <c r="K17" s="2">
        <v>77</v>
      </c>
    </row>
    <row r="18" spans="1:11" x14ac:dyDescent="0.2">
      <c r="A18" s="1">
        <v>16559483</v>
      </c>
      <c r="B18" s="1" t="s">
        <v>41</v>
      </c>
      <c r="C18" s="1" t="str">
        <f t="shared" si="4"/>
        <v>1.5 hp</v>
      </c>
      <c r="D18" s="1" t="s">
        <v>156</v>
      </c>
      <c r="E18" s="1" t="str">
        <f t="shared" si="5"/>
        <v>1.1 kW</v>
      </c>
      <c r="F18" s="1" t="str">
        <f t="shared" si="6"/>
        <v>1 or 3 AC 230/240 V</v>
      </c>
      <c r="G18" s="1" t="s">
        <v>164</v>
      </c>
      <c r="H18" s="1" t="str">
        <f t="shared" si="7"/>
        <v>CANopen</v>
      </c>
      <c r="I18" s="1" t="s">
        <v>166</v>
      </c>
      <c r="J18" s="1" t="s">
        <v>169</v>
      </c>
      <c r="K18" s="2">
        <v>5</v>
      </c>
    </row>
    <row r="19" spans="1:11" x14ac:dyDescent="0.2">
      <c r="A19" s="1">
        <v>16559485</v>
      </c>
      <c r="B19" s="1" t="s">
        <v>43</v>
      </c>
      <c r="C19" s="1" t="str">
        <f t="shared" si="4"/>
        <v>1.5 hp</v>
      </c>
      <c r="D19" s="1" t="s">
        <v>156</v>
      </c>
      <c r="E19" s="1" t="str">
        <f t="shared" si="5"/>
        <v>1.1 kW</v>
      </c>
      <c r="F19" s="1" t="str">
        <f t="shared" si="6"/>
        <v>1 or 3 AC 230/240 V</v>
      </c>
      <c r="G19" s="1" t="s">
        <v>164</v>
      </c>
      <c r="H19" s="1" t="str">
        <f t="shared" si="7"/>
        <v>Modbus RTU</v>
      </c>
      <c r="I19" s="1" t="s">
        <v>167</v>
      </c>
      <c r="J19" s="1" t="s">
        <v>169</v>
      </c>
      <c r="K19" s="2">
        <v>66</v>
      </c>
    </row>
    <row r="20" spans="1:11" x14ac:dyDescent="0.2">
      <c r="A20" s="1">
        <v>16559456</v>
      </c>
      <c r="B20" s="1" t="s">
        <v>23</v>
      </c>
      <c r="C20" s="1" t="str">
        <f t="shared" ref="C20:C25" si="8">VLOOKUP(MID(B20,6,3),POWER,3,FALSE)</f>
        <v>1.5 hp</v>
      </c>
      <c r="D20" s="1" t="s">
        <v>156</v>
      </c>
      <c r="E20" s="1" t="str">
        <f t="shared" ref="E20:E25" si="9">VLOOKUP(MID(B20,6,3),POWER,2,FALSE)</f>
        <v>1.1 kW</v>
      </c>
      <c r="F20" s="1" t="str">
        <f t="shared" ref="F20:F25" si="10">VLOOKUP(MID(B20,9,1),PHASE,3,FALSE)</f>
        <v>3 AV 400/480 V</v>
      </c>
      <c r="G20" s="1" t="s">
        <v>165</v>
      </c>
      <c r="H20" s="1" t="str">
        <f t="shared" ref="H20:H25" si="11">VLOOKUP(MID(B20,16,3),FIELDBUS,3,FALSE)</f>
        <v>Standard I/O</v>
      </c>
      <c r="I20" s="1" t="s">
        <v>168</v>
      </c>
      <c r="J20" s="1" t="s">
        <v>169</v>
      </c>
      <c r="K20" s="2">
        <v>20</v>
      </c>
    </row>
    <row r="21" spans="1:11" x14ac:dyDescent="0.2">
      <c r="A21" s="1">
        <v>16559455</v>
      </c>
      <c r="B21" s="1" t="s">
        <v>22</v>
      </c>
      <c r="C21" s="1" t="str">
        <f t="shared" si="8"/>
        <v>1.5 hp</v>
      </c>
      <c r="D21" s="1" t="s">
        <v>156</v>
      </c>
      <c r="E21" s="1" t="str">
        <f t="shared" si="9"/>
        <v>1.1 kW</v>
      </c>
      <c r="F21" s="1" t="str">
        <f t="shared" si="10"/>
        <v>3 AV 400/480 V</v>
      </c>
      <c r="G21" s="1" t="s">
        <v>165</v>
      </c>
      <c r="H21" s="1" t="str">
        <f t="shared" si="11"/>
        <v>CANopen</v>
      </c>
      <c r="I21" s="1" t="s">
        <v>166</v>
      </c>
      <c r="J21" s="1" t="s">
        <v>169</v>
      </c>
      <c r="K21" s="2">
        <v>1</v>
      </c>
    </row>
    <row r="22" spans="1:11" x14ac:dyDescent="0.2">
      <c r="A22" s="1">
        <v>16559457</v>
      </c>
      <c r="B22" s="1" t="s">
        <v>24</v>
      </c>
      <c r="C22" s="1" t="str">
        <f t="shared" si="8"/>
        <v>1.5 hp</v>
      </c>
      <c r="D22" s="1" t="s">
        <v>156</v>
      </c>
      <c r="E22" s="1" t="str">
        <f t="shared" si="9"/>
        <v>1.1 kW</v>
      </c>
      <c r="F22" s="1" t="str">
        <f t="shared" si="10"/>
        <v>3 AV 400/480 V</v>
      </c>
      <c r="G22" s="1" t="s">
        <v>165</v>
      </c>
      <c r="H22" s="1" t="str">
        <f t="shared" si="11"/>
        <v>Modbus RTU</v>
      </c>
      <c r="I22" s="1" t="s">
        <v>167</v>
      </c>
      <c r="J22" s="1" t="s">
        <v>169</v>
      </c>
      <c r="K22" s="2">
        <v>7</v>
      </c>
    </row>
    <row r="23" spans="1:11" x14ac:dyDescent="0.2">
      <c r="A23" s="1">
        <v>16559488</v>
      </c>
      <c r="B23" s="1" t="s">
        <v>45</v>
      </c>
      <c r="C23" s="1" t="str">
        <f t="shared" si="8"/>
        <v>2.0 hp</v>
      </c>
      <c r="D23" s="1" t="s">
        <v>157</v>
      </c>
      <c r="E23" s="1" t="str">
        <f t="shared" si="9"/>
        <v>1.5 kW</v>
      </c>
      <c r="F23" s="1" t="str">
        <f t="shared" si="10"/>
        <v>1 or 3 AC 230/240 V</v>
      </c>
      <c r="G23" s="1" t="s">
        <v>164</v>
      </c>
      <c r="H23" s="1" t="str">
        <f t="shared" si="11"/>
        <v>Standard I/O</v>
      </c>
      <c r="I23" s="1" t="s">
        <v>168</v>
      </c>
      <c r="J23" s="1" t="s">
        <v>169</v>
      </c>
      <c r="K23" s="2">
        <v>184</v>
      </c>
    </row>
    <row r="24" spans="1:11" x14ac:dyDescent="0.2">
      <c r="A24" s="1">
        <v>16559487</v>
      </c>
      <c r="B24" s="1" t="s">
        <v>44</v>
      </c>
      <c r="C24" s="1" t="str">
        <f t="shared" si="8"/>
        <v>2.0 hp</v>
      </c>
      <c r="D24" s="1" t="s">
        <v>157</v>
      </c>
      <c r="E24" s="1" t="str">
        <f t="shared" si="9"/>
        <v>1.5 kW</v>
      </c>
      <c r="F24" s="1" t="str">
        <f t="shared" si="10"/>
        <v>1 or 3 AC 230/240 V</v>
      </c>
      <c r="G24" s="1" t="s">
        <v>164</v>
      </c>
      <c r="H24" s="1" t="str">
        <f t="shared" si="11"/>
        <v>CANopen</v>
      </c>
      <c r="I24" s="1" t="s">
        <v>166</v>
      </c>
      <c r="J24" s="1" t="s">
        <v>169</v>
      </c>
      <c r="K24" s="2">
        <v>13</v>
      </c>
    </row>
    <row r="25" spans="1:11" x14ac:dyDescent="0.2">
      <c r="A25" s="1">
        <v>16559489</v>
      </c>
      <c r="B25" s="1" t="s">
        <v>46</v>
      </c>
      <c r="C25" s="1" t="str">
        <f t="shared" si="8"/>
        <v>2.0 hp</v>
      </c>
      <c r="D25" s="1" t="s">
        <v>157</v>
      </c>
      <c r="E25" s="1" t="str">
        <f t="shared" si="9"/>
        <v>1.5 kW</v>
      </c>
      <c r="F25" s="1" t="str">
        <f t="shared" si="10"/>
        <v>1 or 3 AC 230/240 V</v>
      </c>
      <c r="G25" s="1" t="s">
        <v>164</v>
      </c>
      <c r="H25" s="1" t="str">
        <f t="shared" si="11"/>
        <v>Modbus RTU</v>
      </c>
      <c r="I25" s="1" t="s">
        <v>167</v>
      </c>
      <c r="J25" s="1" t="s">
        <v>169</v>
      </c>
      <c r="K25" s="2">
        <v>66</v>
      </c>
    </row>
    <row r="26" spans="1:11" x14ac:dyDescent="0.2">
      <c r="A26" s="1">
        <v>16515212</v>
      </c>
      <c r="B26" s="1" t="s">
        <v>5</v>
      </c>
      <c r="C26" s="1" t="str">
        <f t="shared" ref="C26:C34" si="12">VLOOKUP(MID(B26,6,3),POWER,3,FALSE)</f>
        <v>2.0 hp</v>
      </c>
      <c r="D26" s="1" t="s">
        <v>157</v>
      </c>
      <c r="E26" s="1" t="str">
        <f t="shared" ref="E26:E34" si="13">VLOOKUP(MID(B26,6,3),POWER,2,FALSE)</f>
        <v>1.5 kW</v>
      </c>
      <c r="F26" s="1" t="str">
        <f t="shared" ref="F26:F34" si="14">VLOOKUP(MID(B26,9,1),PHASE,3,FALSE)</f>
        <v>3 AV 400/480 V</v>
      </c>
      <c r="G26" s="1" t="s">
        <v>165</v>
      </c>
      <c r="H26" s="1" t="str">
        <f t="shared" ref="H26:H34" si="15">VLOOKUP(MID(B26,16,3),FIELDBUS,3,FALSE)</f>
        <v>Standard I/O</v>
      </c>
      <c r="I26" s="1" t="s">
        <v>168</v>
      </c>
      <c r="J26" s="1" t="s">
        <v>169</v>
      </c>
      <c r="K26" s="2">
        <v>56</v>
      </c>
    </row>
    <row r="27" spans="1:11" x14ac:dyDescent="0.2">
      <c r="A27" s="1">
        <v>16559460</v>
      </c>
      <c r="B27" s="1" t="s">
        <v>25</v>
      </c>
      <c r="C27" s="1" t="str">
        <f t="shared" si="12"/>
        <v>2.0 hp</v>
      </c>
      <c r="D27" s="1" t="s">
        <v>157</v>
      </c>
      <c r="E27" s="1" t="str">
        <f t="shared" si="13"/>
        <v>1.5 kW</v>
      </c>
      <c r="F27" s="1" t="str">
        <f t="shared" si="14"/>
        <v>3 AV 400/480 V</v>
      </c>
      <c r="G27" s="1" t="s">
        <v>165</v>
      </c>
      <c r="H27" s="1" t="str">
        <f t="shared" si="15"/>
        <v>CANopen</v>
      </c>
      <c r="I27" s="1" t="s">
        <v>166</v>
      </c>
      <c r="J27" s="1" t="s">
        <v>169</v>
      </c>
      <c r="K27" s="2">
        <v>4</v>
      </c>
    </row>
    <row r="28" spans="1:11" x14ac:dyDescent="0.2">
      <c r="A28" s="1">
        <v>16559461</v>
      </c>
      <c r="B28" s="1" t="s">
        <v>26</v>
      </c>
      <c r="C28" s="1" t="str">
        <f t="shared" si="12"/>
        <v>2.0 hp</v>
      </c>
      <c r="D28" s="1" t="s">
        <v>157</v>
      </c>
      <c r="E28" s="1" t="str">
        <f t="shared" si="13"/>
        <v>1.5 kW</v>
      </c>
      <c r="F28" s="1" t="str">
        <f t="shared" si="14"/>
        <v>3 AV 400/480 V</v>
      </c>
      <c r="G28" s="1" t="s">
        <v>165</v>
      </c>
      <c r="H28" s="1" t="str">
        <f t="shared" si="15"/>
        <v>Modbus RTU</v>
      </c>
      <c r="I28" s="1" t="s">
        <v>167</v>
      </c>
      <c r="J28" s="1" t="s">
        <v>169</v>
      </c>
      <c r="K28" s="2">
        <v>20</v>
      </c>
    </row>
    <row r="29" spans="1:11" x14ac:dyDescent="0.2">
      <c r="A29" s="1">
        <v>16519462</v>
      </c>
      <c r="B29" s="1" t="s">
        <v>7</v>
      </c>
      <c r="C29" s="1" t="str">
        <f t="shared" si="12"/>
        <v>3.0 hp</v>
      </c>
      <c r="D29" s="1" t="s">
        <v>158</v>
      </c>
      <c r="E29" s="1" t="str">
        <f t="shared" si="13"/>
        <v>2.2 kW</v>
      </c>
      <c r="F29" s="1" t="str">
        <f t="shared" si="14"/>
        <v>1 or 3 AC 230/240 V</v>
      </c>
      <c r="G29" s="1" t="s">
        <v>164</v>
      </c>
      <c r="H29" s="1" t="str">
        <f t="shared" si="15"/>
        <v>Standard I/O</v>
      </c>
      <c r="I29" s="1" t="s">
        <v>168</v>
      </c>
      <c r="J29" s="1" t="s">
        <v>169</v>
      </c>
      <c r="K29" s="2">
        <v>183</v>
      </c>
    </row>
    <row r="30" spans="1:11" x14ac:dyDescent="0.2">
      <c r="A30" s="1">
        <v>16559491</v>
      </c>
      <c r="B30" s="1" t="s">
        <v>47</v>
      </c>
      <c r="C30" s="1" t="str">
        <f t="shared" si="12"/>
        <v>3.0 hp</v>
      </c>
      <c r="D30" s="1" t="s">
        <v>158</v>
      </c>
      <c r="E30" s="1" t="str">
        <f t="shared" si="13"/>
        <v>2.2 kW</v>
      </c>
      <c r="F30" s="1" t="str">
        <f t="shared" si="14"/>
        <v>1 or 3 AC 230/240 V</v>
      </c>
      <c r="G30" s="1" t="s">
        <v>164</v>
      </c>
      <c r="H30" s="1" t="str">
        <f t="shared" si="15"/>
        <v>CANopen</v>
      </c>
      <c r="I30" s="1" t="s">
        <v>166</v>
      </c>
      <c r="J30" s="1" t="s">
        <v>169</v>
      </c>
      <c r="K30" s="2">
        <v>13</v>
      </c>
    </row>
    <row r="31" spans="1:11" x14ac:dyDescent="0.2">
      <c r="A31" s="1">
        <v>16504269</v>
      </c>
      <c r="B31" s="1" t="s">
        <v>3</v>
      </c>
      <c r="C31" s="1" t="str">
        <f t="shared" si="12"/>
        <v>3.0 hp</v>
      </c>
      <c r="D31" s="1" t="s">
        <v>158</v>
      </c>
      <c r="E31" s="1" t="str">
        <f t="shared" si="13"/>
        <v>2.2 kW</v>
      </c>
      <c r="F31" s="1" t="str">
        <f t="shared" si="14"/>
        <v>1 or 3 AC 230/240 V</v>
      </c>
      <c r="G31" s="1" t="s">
        <v>164</v>
      </c>
      <c r="H31" s="1" t="str">
        <f t="shared" si="15"/>
        <v>Modbus RTU</v>
      </c>
      <c r="I31" s="1" t="s">
        <v>167</v>
      </c>
      <c r="J31" s="1" t="s">
        <v>169</v>
      </c>
      <c r="K31" s="2">
        <v>65</v>
      </c>
    </row>
    <row r="32" spans="1:11" x14ac:dyDescent="0.2">
      <c r="A32" s="1">
        <v>16515213</v>
      </c>
      <c r="B32" s="1" t="s">
        <v>6</v>
      </c>
      <c r="C32" s="1" t="str">
        <f t="shared" si="12"/>
        <v>3.0 hp</v>
      </c>
      <c r="D32" s="1" t="s">
        <v>158</v>
      </c>
      <c r="E32" s="1" t="str">
        <f t="shared" si="13"/>
        <v>2.2 kW</v>
      </c>
      <c r="F32" s="1" t="str">
        <f t="shared" si="14"/>
        <v>3 AV 400/480 V</v>
      </c>
      <c r="G32" s="1" t="s">
        <v>165</v>
      </c>
      <c r="H32" s="1" t="str">
        <f t="shared" si="15"/>
        <v>Standard I/O</v>
      </c>
      <c r="I32" s="1" t="s">
        <v>168</v>
      </c>
      <c r="J32" s="1" t="s">
        <v>169</v>
      </c>
      <c r="K32" s="2">
        <v>116</v>
      </c>
    </row>
    <row r="33" spans="1:11" x14ac:dyDescent="0.2">
      <c r="A33" s="1">
        <v>16559463</v>
      </c>
      <c r="B33" s="1" t="s">
        <v>27</v>
      </c>
      <c r="C33" s="1" t="str">
        <f t="shared" si="12"/>
        <v>3.0 hp</v>
      </c>
      <c r="D33" s="1" t="s">
        <v>158</v>
      </c>
      <c r="E33" s="1" t="str">
        <f t="shared" si="13"/>
        <v>2.2 kW</v>
      </c>
      <c r="F33" s="1" t="str">
        <f t="shared" si="14"/>
        <v>3 AV 400/480 V</v>
      </c>
      <c r="G33" s="1" t="s">
        <v>165</v>
      </c>
      <c r="H33" s="1" t="str">
        <f t="shared" si="15"/>
        <v>CANopen</v>
      </c>
      <c r="I33" s="1" t="s">
        <v>166</v>
      </c>
      <c r="J33" s="1" t="s">
        <v>169</v>
      </c>
      <c r="K33" s="2">
        <v>5</v>
      </c>
    </row>
    <row r="34" spans="1:11" x14ac:dyDescent="0.2">
      <c r="A34" s="1">
        <v>16559464</v>
      </c>
      <c r="B34" s="1" t="s">
        <v>28</v>
      </c>
      <c r="C34" s="1" t="str">
        <f t="shared" si="12"/>
        <v>3.0 hp</v>
      </c>
      <c r="D34" s="1" t="s">
        <v>158</v>
      </c>
      <c r="E34" s="1" t="str">
        <f t="shared" si="13"/>
        <v>2.2 kW</v>
      </c>
      <c r="F34" s="1" t="str">
        <f t="shared" si="14"/>
        <v>3 AV 400/480 V</v>
      </c>
      <c r="G34" s="1" t="s">
        <v>165</v>
      </c>
      <c r="H34" s="1" t="str">
        <f t="shared" si="15"/>
        <v>Modbus RTU</v>
      </c>
      <c r="I34" s="1" t="s">
        <v>167</v>
      </c>
      <c r="J34" s="1" t="s">
        <v>169</v>
      </c>
      <c r="K34" s="2">
        <v>25</v>
      </c>
    </row>
    <row r="35" spans="1:11" x14ac:dyDescent="0.2">
      <c r="A35" s="1">
        <v>16559231</v>
      </c>
      <c r="B35" s="1" t="s">
        <v>16</v>
      </c>
      <c r="C35" s="1" t="str">
        <f t="shared" ref="C35:C43" si="16">VLOOKUP(MID(B35,6,3),POWER,3,FALSE)</f>
        <v>4.0 hp</v>
      </c>
      <c r="D35" s="1" t="s">
        <v>159</v>
      </c>
      <c r="E35" s="1" t="str">
        <f t="shared" ref="E35:E43" si="17">VLOOKUP(MID(B35,6,3),POWER,2,FALSE)</f>
        <v>3.0 kW</v>
      </c>
      <c r="F35" s="1" t="str">
        <f t="shared" ref="F35:F43" si="18">VLOOKUP(MID(B35,9,1),PHASE,3,FALSE)</f>
        <v>3 AC 230/240 V</v>
      </c>
      <c r="G35" s="1" t="s">
        <v>163</v>
      </c>
      <c r="H35" s="1" t="str">
        <f t="shared" ref="H35:H43" si="19">VLOOKUP(MID(B35,16,3),FIELDBUS,3,FALSE)</f>
        <v>Standard I/O</v>
      </c>
      <c r="I35" s="1" t="s">
        <v>168</v>
      </c>
      <c r="J35" s="1" t="s">
        <v>169</v>
      </c>
      <c r="K35" s="2">
        <v>0</v>
      </c>
    </row>
    <row r="36" spans="1:11" x14ac:dyDescent="0.2">
      <c r="A36" s="1">
        <v>16559229</v>
      </c>
      <c r="B36" s="1" t="s">
        <v>15</v>
      </c>
      <c r="C36" s="1" t="str">
        <f t="shared" si="16"/>
        <v>4.0 hp</v>
      </c>
      <c r="D36" s="1" t="s">
        <v>159</v>
      </c>
      <c r="E36" s="1" t="str">
        <f t="shared" si="17"/>
        <v>3.0 kW</v>
      </c>
      <c r="F36" s="1" t="str">
        <f t="shared" si="18"/>
        <v>3 AC 230/240 V</v>
      </c>
      <c r="G36" s="1" t="s">
        <v>163</v>
      </c>
      <c r="H36" s="1" t="str">
        <f t="shared" si="19"/>
        <v>CANopen</v>
      </c>
      <c r="I36" s="1" t="s">
        <v>166</v>
      </c>
      <c r="J36" s="1" t="s">
        <v>169</v>
      </c>
      <c r="K36" s="2">
        <v>0</v>
      </c>
    </row>
    <row r="37" spans="1:11" x14ac:dyDescent="0.2">
      <c r="A37" s="1">
        <v>16559244</v>
      </c>
      <c r="B37" s="1" t="s">
        <v>17</v>
      </c>
      <c r="C37" s="1" t="str">
        <f t="shared" si="16"/>
        <v>4.0 hp</v>
      </c>
      <c r="D37" s="1" t="s">
        <v>159</v>
      </c>
      <c r="E37" s="1" t="str">
        <f t="shared" si="17"/>
        <v>3.0 kW</v>
      </c>
      <c r="F37" s="1" t="str">
        <f t="shared" si="18"/>
        <v>3 AC 230/240 V</v>
      </c>
      <c r="G37" s="1" t="s">
        <v>163</v>
      </c>
      <c r="H37" s="1" t="str">
        <f t="shared" si="19"/>
        <v>Modbus RTU</v>
      </c>
      <c r="I37" s="1" t="s">
        <v>167</v>
      </c>
      <c r="J37" s="1" t="s">
        <v>169</v>
      </c>
      <c r="K37" s="2">
        <v>0</v>
      </c>
    </row>
    <row r="38" spans="1:11" x14ac:dyDescent="0.2">
      <c r="A38" s="1">
        <v>16559467</v>
      </c>
      <c r="B38" s="1" t="s">
        <v>30</v>
      </c>
      <c r="C38" s="1" t="str">
        <f t="shared" si="16"/>
        <v>4.0 hp</v>
      </c>
      <c r="D38" s="1" t="s">
        <v>159</v>
      </c>
      <c r="E38" s="1" t="str">
        <f t="shared" si="17"/>
        <v>3.0 kW</v>
      </c>
      <c r="F38" s="1" t="str">
        <f t="shared" si="18"/>
        <v>3 AV 400/480 V</v>
      </c>
      <c r="G38" s="1" t="s">
        <v>165</v>
      </c>
      <c r="H38" s="1" t="str">
        <f t="shared" si="19"/>
        <v>Standard I/O</v>
      </c>
      <c r="I38" s="1" t="s">
        <v>168</v>
      </c>
      <c r="J38" s="1" t="s">
        <v>169</v>
      </c>
      <c r="K38" s="2">
        <v>0</v>
      </c>
    </row>
    <row r="39" spans="1:11" x14ac:dyDescent="0.2">
      <c r="A39" s="1">
        <v>16559466</v>
      </c>
      <c r="B39" s="1" t="s">
        <v>29</v>
      </c>
      <c r="C39" s="1" t="str">
        <f t="shared" si="16"/>
        <v>4.0 hp</v>
      </c>
      <c r="D39" s="1" t="s">
        <v>159</v>
      </c>
      <c r="E39" s="1" t="str">
        <f t="shared" si="17"/>
        <v>3.0 kW</v>
      </c>
      <c r="F39" s="1" t="str">
        <f t="shared" si="18"/>
        <v>3 AV 400/480 V</v>
      </c>
      <c r="G39" s="1" t="s">
        <v>165</v>
      </c>
      <c r="H39" s="1" t="str">
        <f t="shared" si="19"/>
        <v>CANopen</v>
      </c>
      <c r="I39" s="1" t="s">
        <v>166</v>
      </c>
      <c r="J39" s="1" t="s">
        <v>169</v>
      </c>
      <c r="K39" s="2">
        <v>0</v>
      </c>
    </row>
    <row r="40" spans="1:11" x14ac:dyDescent="0.2">
      <c r="A40" s="1">
        <v>16559469</v>
      </c>
      <c r="B40" s="1" t="s">
        <v>31</v>
      </c>
      <c r="C40" s="1" t="str">
        <f t="shared" si="16"/>
        <v>4.0 hp</v>
      </c>
      <c r="D40" s="1" t="s">
        <v>159</v>
      </c>
      <c r="E40" s="1" t="str">
        <f t="shared" si="17"/>
        <v>3.0 kW</v>
      </c>
      <c r="F40" s="1" t="str">
        <f t="shared" si="18"/>
        <v>3 AV 400/480 V</v>
      </c>
      <c r="G40" s="1" t="s">
        <v>165</v>
      </c>
      <c r="H40" s="1" t="str">
        <f t="shared" si="19"/>
        <v>Modbus RTU</v>
      </c>
      <c r="I40" s="1" t="s">
        <v>167</v>
      </c>
      <c r="J40" s="1" t="s">
        <v>169</v>
      </c>
      <c r="K40" s="2">
        <v>0</v>
      </c>
    </row>
    <row r="41" spans="1:11" x14ac:dyDescent="0.2">
      <c r="A41" s="1">
        <v>16519463</v>
      </c>
      <c r="B41" s="1" t="s">
        <v>8</v>
      </c>
      <c r="C41" s="1" t="str">
        <f t="shared" si="16"/>
        <v>5.0 hp</v>
      </c>
      <c r="D41" s="1" t="s">
        <v>160</v>
      </c>
      <c r="E41" s="1" t="str">
        <f t="shared" si="17"/>
        <v>4.0 kW</v>
      </c>
      <c r="F41" s="1" t="str">
        <f t="shared" si="18"/>
        <v>3 AC 230/240 V</v>
      </c>
      <c r="G41" s="1" t="s">
        <v>163</v>
      </c>
      <c r="H41" s="1" t="str">
        <f t="shared" si="19"/>
        <v>Standard I/O</v>
      </c>
      <c r="I41" s="1" t="s">
        <v>168</v>
      </c>
      <c r="J41" s="1" t="s">
        <v>169</v>
      </c>
      <c r="K41" s="2">
        <v>137</v>
      </c>
    </row>
    <row r="42" spans="1:11" x14ac:dyDescent="0.2">
      <c r="A42" s="1">
        <v>16559245</v>
      </c>
      <c r="B42" s="1" t="s">
        <v>18</v>
      </c>
      <c r="C42" s="1" t="str">
        <f t="shared" si="16"/>
        <v>5.0 hp</v>
      </c>
      <c r="D42" s="1" t="s">
        <v>160</v>
      </c>
      <c r="E42" s="1" t="str">
        <f t="shared" si="17"/>
        <v>4.0 kW</v>
      </c>
      <c r="F42" s="1" t="str">
        <f t="shared" si="18"/>
        <v>3 AC 230/240 V</v>
      </c>
      <c r="G42" s="1" t="s">
        <v>163</v>
      </c>
      <c r="H42" s="1" t="str">
        <f t="shared" si="19"/>
        <v>CANopen</v>
      </c>
      <c r="I42" s="1" t="s">
        <v>166</v>
      </c>
      <c r="J42" s="1" t="s">
        <v>169</v>
      </c>
      <c r="K42" s="2">
        <v>10</v>
      </c>
    </row>
    <row r="43" spans="1:11" x14ac:dyDescent="0.2">
      <c r="A43" s="1">
        <v>16559248</v>
      </c>
      <c r="B43" s="1" t="s">
        <v>19</v>
      </c>
      <c r="C43" s="1" t="str">
        <f t="shared" si="16"/>
        <v>5.0 hp</v>
      </c>
      <c r="D43" s="1" t="s">
        <v>160</v>
      </c>
      <c r="E43" s="1" t="str">
        <f t="shared" si="17"/>
        <v>4.0 kW</v>
      </c>
      <c r="F43" s="1" t="str">
        <f t="shared" si="18"/>
        <v>3 AC 230/240 V</v>
      </c>
      <c r="G43" s="1" t="s">
        <v>163</v>
      </c>
      <c r="H43" s="1" t="str">
        <f t="shared" si="19"/>
        <v>Modbus RTU</v>
      </c>
      <c r="I43" s="1" t="s">
        <v>167</v>
      </c>
      <c r="J43" s="1" t="s">
        <v>169</v>
      </c>
      <c r="K43" s="2">
        <v>49</v>
      </c>
    </row>
    <row r="44" spans="1:11" x14ac:dyDescent="0.2">
      <c r="A44" s="1">
        <v>16533303</v>
      </c>
      <c r="B44" s="1" t="s">
        <v>10</v>
      </c>
      <c r="C44" s="1" t="str">
        <f t="shared" ref="C44:C49" si="20">VLOOKUP(MID(B44,6,3),POWER,3,FALSE)</f>
        <v>5.0 hp</v>
      </c>
      <c r="D44" s="1" t="s">
        <v>160</v>
      </c>
      <c r="E44" s="1" t="str">
        <f t="shared" ref="E44:E49" si="21">VLOOKUP(MID(B44,6,3),POWER,2,FALSE)</f>
        <v>4.0 kW</v>
      </c>
      <c r="F44" s="1" t="str">
        <f t="shared" ref="F44:F49" si="22">VLOOKUP(MID(B44,9,1),PHASE,3,FALSE)</f>
        <v>3 AV 400/480 V</v>
      </c>
      <c r="G44" s="1" t="s">
        <v>165</v>
      </c>
      <c r="H44" s="1" t="str">
        <f t="shared" ref="H44:H49" si="23">VLOOKUP(MID(B44,16,3),FIELDBUS,3,FALSE)</f>
        <v>Standard I/O</v>
      </c>
      <c r="I44" s="1" t="s">
        <v>168</v>
      </c>
      <c r="J44" s="1" t="s">
        <v>169</v>
      </c>
      <c r="K44" s="2">
        <v>33</v>
      </c>
    </row>
    <row r="45" spans="1:11" x14ac:dyDescent="0.2">
      <c r="A45" s="1">
        <v>16504268</v>
      </c>
      <c r="B45" s="1" t="s">
        <v>2</v>
      </c>
      <c r="C45" s="1" t="str">
        <f t="shared" si="20"/>
        <v>5.0 hp</v>
      </c>
      <c r="D45" s="1" t="s">
        <v>160</v>
      </c>
      <c r="E45" s="1" t="str">
        <f t="shared" si="21"/>
        <v>4.0 kW</v>
      </c>
      <c r="F45" s="1" t="str">
        <f t="shared" si="22"/>
        <v>3 AV 400/480 V</v>
      </c>
      <c r="G45" s="1" t="s">
        <v>165</v>
      </c>
      <c r="H45" s="1" t="str">
        <f t="shared" si="23"/>
        <v>CANopen</v>
      </c>
      <c r="I45" s="1" t="s">
        <v>166</v>
      </c>
      <c r="J45" s="1" t="s">
        <v>169</v>
      </c>
      <c r="K45" s="2">
        <v>6</v>
      </c>
    </row>
    <row r="46" spans="1:11" x14ac:dyDescent="0.2">
      <c r="A46" s="1">
        <v>16559470</v>
      </c>
      <c r="B46" s="1" t="s">
        <v>32</v>
      </c>
      <c r="C46" s="1" t="str">
        <f t="shared" si="20"/>
        <v>5.0 hp</v>
      </c>
      <c r="D46" s="1" t="s">
        <v>160</v>
      </c>
      <c r="E46" s="1" t="str">
        <f t="shared" si="21"/>
        <v>4.0 kW</v>
      </c>
      <c r="F46" s="1" t="str">
        <f t="shared" si="22"/>
        <v>3 AV 400/480 V</v>
      </c>
      <c r="G46" s="1" t="s">
        <v>165</v>
      </c>
      <c r="H46" s="1" t="str">
        <f t="shared" si="23"/>
        <v>Modbus RTU</v>
      </c>
      <c r="I46" s="1" t="s">
        <v>167</v>
      </c>
      <c r="J46" s="1" t="s">
        <v>169</v>
      </c>
      <c r="K46" s="2">
        <v>30</v>
      </c>
    </row>
    <row r="47" spans="1:11" x14ac:dyDescent="0.2">
      <c r="A47" s="1">
        <v>16559473</v>
      </c>
      <c r="B47" s="1" t="s">
        <v>34</v>
      </c>
      <c r="C47" s="1" t="str">
        <f t="shared" si="20"/>
        <v>7.5 hp</v>
      </c>
      <c r="D47" s="1" t="s">
        <v>161</v>
      </c>
      <c r="E47" s="1" t="str">
        <f t="shared" si="21"/>
        <v>5.5 kW</v>
      </c>
      <c r="F47" s="1" t="str">
        <f t="shared" si="22"/>
        <v>3 AV 400/480 V</v>
      </c>
      <c r="G47" s="1" t="s">
        <v>165</v>
      </c>
      <c r="H47" s="1" t="str">
        <f t="shared" si="23"/>
        <v>Standard I/O</v>
      </c>
      <c r="I47" s="1" t="s">
        <v>168</v>
      </c>
      <c r="J47" s="1" t="s">
        <v>169</v>
      </c>
      <c r="K47" s="2">
        <v>32</v>
      </c>
    </row>
    <row r="48" spans="1:11" x14ac:dyDescent="0.2">
      <c r="A48" s="1">
        <v>16559471</v>
      </c>
      <c r="B48" s="1" t="s">
        <v>33</v>
      </c>
      <c r="C48" s="1" t="str">
        <f t="shared" si="20"/>
        <v>7.5 hp</v>
      </c>
      <c r="D48" s="1" t="s">
        <v>161</v>
      </c>
      <c r="E48" s="1" t="str">
        <f t="shared" si="21"/>
        <v>5.5 kW</v>
      </c>
      <c r="F48" s="1" t="str">
        <f t="shared" si="22"/>
        <v>3 AV 400/480 V</v>
      </c>
      <c r="G48" s="1" t="s">
        <v>165</v>
      </c>
      <c r="H48" s="1" t="str">
        <f t="shared" si="23"/>
        <v>CANopen</v>
      </c>
      <c r="I48" s="1" t="s">
        <v>166</v>
      </c>
      <c r="J48" s="1" t="s">
        <v>169</v>
      </c>
      <c r="K48" s="2">
        <v>2</v>
      </c>
    </row>
    <row r="49" spans="1:11" x14ac:dyDescent="0.2">
      <c r="A49" s="1">
        <v>16559474</v>
      </c>
      <c r="B49" s="1" t="s">
        <v>35</v>
      </c>
      <c r="C49" s="1" t="str">
        <f t="shared" si="20"/>
        <v>7.5 hp</v>
      </c>
      <c r="D49" s="1" t="s">
        <v>161</v>
      </c>
      <c r="E49" s="1" t="str">
        <f t="shared" si="21"/>
        <v>5.5 kW</v>
      </c>
      <c r="F49" s="1" t="str">
        <f t="shared" si="22"/>
        <v>3 AV 400/480 V</v>
      </c>
      <c r="G49" s="1" t="s">
        <v>165</v>
      </c>
      <c r="H49" s="1" t="str">
        <f t="shared" si="23"/>
        <v>Modbus RTU</v>
      </c>
      <c r="I49" s="1" t="s">
        <v>167</v>
      </c>
      <c r="J49" s="1" t="s">
        <v>169</v>
      </c>
      <c r="K49" s="2">
        <v>12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FD95-FE75-439A-A08E-8FEBA7923537}">
  <sheetPr codeName="Sheet2"/>
  <dimension ref="A1:M68"/>
  <sheetViews>
    <sheetView workbookViewId="0">
      <selection activeCell="E19" sqref="E19"/>
    </sheetView>
  </sheetViews>
  <sheetFormatPr defaultRowHeight="12.75" x14ac:dyDescent="0.2"/>
  <cols>
    <col min="1" max="1" width="26" style="5" bestFit="1" customWidth="1"/>
    <col min="2" max="2" width="9.140625" style="6" bestFit="1"/>
    <col min="3" max="3" width="8.5703125" style="5" bestFit="1" customWidth="1"/>
    <col min="4" max="4" width="26" style="5" bestFit="1" customWidth="1"/>
    <col min="5" max="6" width="14.28515625" style="5" bestFit="1" customWidth="1"/>
    <col min="7" max="7" width="13.28515625" style="5" bestFit="1" customWidth="1"/>
    <col min="8" max="8" width="10" style="5" bestFit="1" customWidth="1"/>
    <col min="9" max="16384" width="9.140625" style="5"/>
  </cols>
  <sheetData>
    <row r="1" spans="1:13" x14ac:dyDescent="0.2">
      <c r="A1" s="3" t="s">
        <v>49</v>
      </c>
      <c r="B1" s="3" t="s">
        <v>50</v>
      </c>
      <c r="C1" s="3" t="s">
        <v>51</v>
      </c>
      <c r="E1" s="3" t="s">
        <v>52</v>
      </c>
    </row>
    <row r="2" spans="1:13" x14ac:dyDescent="0.2">
      <c r="A2" s="5" t="s">
        <v>53</v>
      </c>
      <c r="B2" s="6" t="s">
        <v>54</v>
      </c>
      <c r="C2" s="5">
        <v>0</v>
      </c>
      <c r="D2" s="5" t="s">
        <v>173</v>
      </c>
      <c r="E2" s="5" t="s">
        <v>55</v>
      </c>
      <c r="M2" s="14"/>
    </row>
    <row r="3" spans="1:13" x14ac:dyDescent="0.2">
      <c r="A3" s="5" t="s">
        <v>56</v>
      </c>
      <c r="B3" s="6" t="s">
        <v>57</v>
      </c>
      <c r="C3" s="5">
        <v>1</v>
      </c>
      <c r="D3" s="5" t="s">
        <v>174</v>
      </c>
      <c r="E3" s="5" t="s">
        <v>58</v>
      </c>
    </row>
    <row r="4" spans="1:13" x14ac:dyDescent="0.2">
      <c r="A4" s="5" t="s">
        <v>58</v>
      </c>
      <c r="B4" s="6" t="s">
        <v>59</v>
      </c>
      <c r="C4" s="5">
        <v>0</v>
      </c>
      <c r="D4" s="5" t="s">
        <v>175</v>
      </c>
      <c r="E4" s="5" t="s">
        <v>60</v>
      </c>
      <c r="M4" s="14"/>
    </row>
    <row r="5" spans="1:13" x14ac:dyDescent="0.2">
      <c r="A5" s="5" t="s">
        <v>60</v>
      </c>
      <c r="B5" s="6" t="s">
        <v>61</v>
      </c>
      <c r="C5" s="5">
        <v>0</v>
      </c>
      <c r="D5" s="5" t="s">
        <v>176</v>
      </c>
      <c r="E5" s="5" t="s">
        <v>62</v>
      </c>
    </row>
    <row r="6" spans="1:13" x14ac:dyDescent="0.2">
      <c r="A6" s="5" t="s">
        <v>62</v>
      </c>
      <c r="B6" s="6" t="s">
        <v>63</v>
      </c>
      <c r="C6" s="5">
        <v>1</v>
      </c>
      <c r="D6" s="5" t="s">
        <v>177</v>
      </c>
    </row>
    <row r="8" spans="1:13" x14ac:dyDescent="0.2">
      <c r="E8" s="13" t="s">
        <v>52</v>
      </c>
      <c r="F8" s="13"/>
      <c r="G8" s="13"/>
      <c r="H8" s="13"/>
    </row>
    <row r="9" spans="1:13" x14ac:dyDescent="0.2">
      <c r="A9" s="4" t="s">
        <v>64</v>
      </c>
      <c r="B9" s="3" t="s">
        <v>50</v>
      </c>
      <c r="C9" s="3"/>
      <c r="E9" s="3" t="s">
        <v>65</v>
      </c>
      <c r="F9" s="3" t="s">
        <v>48</v>
      </c>
      <c r="G9" s="3" t="s">
        <v>50</v>
      </c>
      <c r="H9" s="3" t="s">
        <v>66</v>
      </c>
    </row>
    <row r="10" spans="1:13" x14ac:dyDescent="0.2">
      <c r="A10" s="5" t="s">
        <v>67</v>
      </c>
      <c r="B10" s="7" t="s">
        <v>68</v>
      </c>
      <c r="C10" s="5" t="s">
        <v>127</v>
      </c>
      <c r="D10" s="5" t="s">
        <v>128</v>
      </c>
      <c r="E10" s="5" t="s">
        <v>53</v>
      </c>
      <c r="F10" s="5" t="s">
        <v>67</v>
      </c>
      <c r="G10" s="5" t="s">
        <v>69</v>
      </c>
      <c r="H10" s="9">
        <v>227.73</v>
      </c>
    </row>
    <row r="11" spans="1:13" x14ac:dyDescent="0.2">
      <c r="A11" s="5" t="s">
        <v>70</v>
      </c>
      <c r="B11" s="7" t="s">
        <v>71</v>
      </c>
      <c r="C11" s="5" t="s">
        <v>129</v>
      </c>
      <c r="D11" s="5" t="s">
        <v>130</v>
      </c>
      <c r="E11" s="5" t="s">
        <v>53</v>
      </c>
      <c r="F11" s="5" t="s">
        <v>72</v>
      </c>
      <c r="G11" s="5" t="s">
        <v>73</v>
      </c>
      <c r="H11" s="9">
        <v>308.11</v>
      </c>
    </row>
    <row r="12" spans="1:13" x14ac:dyDescent="0.2">
      <c r="A12" s="5" t="s">
        <v>72</v>
      </c>
      <c r="B12" s="7" t="s">
        <v>74</v>
      </c>
      <c r="C12" s="5" t="s">
        <v>131</v>
      </c>
      <c r="D12" s="5" t="s">
        <v>132</v>
      </c>
      <c r="E12" s="5" t="s">
        <v>58</v>
      </c>
      <c r="F12" s="5" t="s">
        <v>67</v>
      </c>
      <c r="G12" s="5" t="s">
        <v>75</v>
      </c>
      <c r="H12" s="9">
        <v>194.24</v>
      </c>
    </row>
    <row r="13" spans="1:13" x14ac:dyDescent="0.2">
      <c r="A13" s="5" t="s">
        <v>76</v>
      </c>
      <c r="B13" s="7" t="s">
        <v>77</v>
      </c>
      <c r="C13" s="5" t="s">
        <v>133</v>
      </c>
      <c r="D13" s="5" t="s">
        <v>134</v>
      </c>
      <c r="E13" s="5" t="s">
        <v>58</v>
      </c>
      <c r="F13" s="5" t="s">
        <v>72</v>
      </c>
      <c r="G13" s="5" t="s">
        <v>78</v>
      </c>
      <c r="H13" s="9">
        <v>227.73</v>
      </c>
    </row>
    <row r="14" spans="1:13" x14ac:dyDescent="0.2">
      <c r="A14" s="5" t="s">
        <v>79</v>
      </c>
      <c r="B14" s="7" t="s">
        <v>80</v>
      </c>
      <c r="C14" s="5" t="s">
        <v>135</v>
      </c>
      <c r="D14" s="5" t="s">
        <v>136</v>
      </c>
      <c r="E14" s="5" t="s">
        <v>58</v>
      </c>
      <c r="F14" s="5" t="s">
        <v>76</v>
      </c>
      <c r="G14" s="5" t="s">
        <v>81</v>
      </c>
      <c r="H14" s="9">
        <v>274.62</v>
      </c>
    </row>
    <row r="15" spans="1:13" x14ac:dyDescent="0.2">
      <c r="A15" s="5" t="s">
        <v>82</v>
      </c>
      <c r="B15" s="7" t="s">
        <v>83</v>
      </c>
      <c r="C15" s="5" t="s">
        <v>137</v>
      </c>
      <c r="D15" s="5" t="s">
        <v>138</v>
      </c>
      <c r="E15" s="5" t="s">
        <v>58</v>
      </c>
      <c r="F15" s="5" t="s">
        <v>79</v>
      </c>
      <c r="G15" s="5" t="s">
        <v>84</v>
      </c>
      <c r="H15" s="9">
        <v>314.8</v>
      </c>
    </row>
    <row r="16" spans="1:13" x14ac:dyDescent="0.2">
      <c r="A16" s="5" t="s">
        <v>85</v>
      </c>
      <c r="B16" s="7" t="s">
        <v>86</v>
      </c>
      <c r="C16" s="5" t="s">
        <v>139</v>
      </c>
      <c r="D16" s="5" t="s">
        <v>140</v>
      </c>
      <c r="E16" s="5" t="s">
        <v>58</v>
      </c>
      <c r="F16" s="5" t="s">
        <v>82</v>
      </c>
      <c r="G16" s="5" t="s">
        <v>87</v>
      </c>
      <c r="H16" s="9">
        <v>354.99</v>
      </c>
    </row>
    <row r="17" spans="1:8" x14ac:dyDescent="0.2">
      <c r="A17" s="5" t="s">
        <v>88</v>
      </c>
      <c r="B17" s="7" t="s">
        <v>89</v>
      </c>
      <c r="C17" s="5" t="s">
        <v>141</v>
      </c>
      <c r="D17" s="5" t="s">
        <v>142</v>
      </c>
      <c r="E17" s="5" t="s">
        <v>60</v>
      </c>
      <c r="F17" s="5" t="s">
        <v>85</v>
      </c>
      <c r="G17" s="5" t="s">
        <v>90</v>
      </c>
      <c r="H17" s="9">
        <v>509.04</v>
      </c>
    </row>
    <row r="18" spans="1:8" x14ac:dyDescent="0.2">
      <c r="A18" s="5" t="s">
        <v>91</v>
      </c>
      <c r="B18" s="7" t="s">
        <v>92</v>
      </c>
      <c r="C18" s="5" t="s">
        <v>143</v>
      </c>
      <c r="D18" s="5" t="s">
        <v>144</v>
      </c>
      <c r="E18" s="5" t="s">
        <v>60</v>
      </c>
      <c r="F18" s="5" t="s">
        <v>88</v>
      </c>
      <c r="G18" s="5" t="s">
        <v>93</v>
      </c>
      <c r="H18" s="9">
        <v>535.84</v>
      </c>
    </row>
    <row r="19" spans="1:8" x14ac:dyDescent="0.2">
      <c r="B19" s="7"/>
      <c r="C19" s="8"/>
      <c r="E19" s="5" t="s">
        <v>62</v>
      </c>
      <c r="F19" s="5" t="s">
        <v>72</v>
      </c>
      <c r="G19" s="5" t="s">
        <v>94</v>
      </c>
      <c r="H19" s="9">
        <v>348.29</v>
      </c>
    </row>
    <row r="20" spans="1:8" x14ac:dyDescent="0.2">
      <c r="A20" s="3" t="s">
        <v>103</v>
      </c>
      <c r="B20" s="3" t="s">
        <v>50</v>
      </c>
      <c r="C20" s="3"/>
      <c r="E20" s="5" t="s">
        <v>62</v>
      </c>
      <c r="F20" s="5" t="s">
        <v>76</v>
      </c>
      <c r="G20" s="5" t="s">
        <v>95</v>
      </c>
      <c r="H20" s="9">
        <v>368.39</v>
      </c>
    </row>
    <row r="21" spans="1:8" x14ac:dyDescent="0.2">
      <c r="A21" s="5" t="s">
        <v>104</v>
      </c>
      <c r="B21" s="6" t="s">
        <v>101</v>
      </c>
      <c r="D21" s="5" t="s">
        <v>104</v>
      </c>
      <c r="E21" s="5" t="s">
        <v>62</v>
      </c>
      <c r="F21" s="5" t="s">
        <v>79</v>
      </c>
      <c r="G21" s="5" t="s">
        <v>96</v>
      </c>
      <c r="H21" s="9">
        <v>395.19</v>
      </c>
    </row>
    <row r="22" spans="1:8" x14ac:dyDescent="0.2">
      <c r="A22" s="5" t="s">
        <v>105</v>
      </c>
      <c r="B22" s="6" t="s">
        <v>102</v>
      </c>
      <c r="D22" s="5" t="s">
        <v>105</v>
      </c>
      <c r="E22" s="5" t="s">
        <v>62</v>
      </c>
      <c r="F22" s="5" t="s">
        <v>82</v>
      </c>
      <c r="G22" s="5" t="s">
        <v>97</v>
      </c>
      <c r="H22" s="9">
        <v>435.37</v>
      </c>
    </row>
    <row r="23" spans="1:8" x14ac:dyDescent="0.2">
      <c r="E23" s="5" t="s">
        <v>62</v>
      </c>
      <c r="F23" s="5" t="s">
        <v>85</v>
      </c>
      <c r="G23" s="5" t="s">
        <v>98</v>
      </c>
      <c r="H23" s="9">
        <v>495.65</v>
      </c>
    </row>
    <row r="24" spans="1:8" x14ac:dyDescent="0.2">
      <c r="A24" s="3" t="s">
        <v>106</v>
      </c>
      <c r="B24" s="3" t="s">
        <v>50</v>
      </c>
      <c r="C24" s="3" t="s">
        <v>66</v>
      </c>
      <c r="E24" s="5" t="s">
        <v>62</v>
      </c>
      <c r="F24" s="5" t="s">
        <v>88</v>
      </c>
      <c r="G24" s="5" t="s">
        <v>99</v>
      </c>
      <c r="H24" s="9">
        <v>589.41999999999996</v>
      </c>
    </row>
    <row r="25" spans="1:8" x14ac:dyDescent="0.2">
      <c r="A25" s="5" t="s">
        <v>107</v>
      </c>
      <c r="B25" s="6" t="s">
        <v>101</v>
      </c>
      <c r="C25" s="9">
        <v>0</v>
      </c>
      <c r="D25" s="5" t="s">
        <v>126</v>
      </c>
      <c r="E25" s="5" t="s">
        <v>62</v>
      </c>
      <c r="F25" s="5" t="s">
        <v>91</v>
      </c>
      <c r="G25" s="5" t="s">
        <v>100</v>
      </c>
      <c r="H25" s="9">
        <v>776.96</v>
      </c>
    </row>
    <row r="26" spans="1:8" x14ac:dyDescent="0.2">
      <c r="A26" s="5" t="s">
        <v>108</v>
      </c>
      <c r="B26" s="6" t="s">
        <v>109</v>
      </c>
      <c r="C26" s="9">
        <v>46.879999999999995</v>
      </c>
      <c r="D26" s="5" t="s">
        <v>108</v>
      </c>
      <c r="H26" s="9"/>
    </row>
    <row r="27" spans="1:8" x14ac:dyDescent="0.2">
      <c r="A27" s="5" t="s">
        <v>110</v>
      </c>
      <c r="B27" s="6" t="s">
        <v>111</v>
      </c>
      <c r="C27" s="9">
        <v>107.17000000000002</v>
      </c>
      <c r="D27" s="5" t="s">
        <v>110</v>
      </c>
      <c r="H27" s="9"/>
    </row>
    <row r="28" spans="1:8" x14ac:dyDescent="0.2">
      <c r="A28" s="5" t="s">
        <v>124</v>
      </c>
      <c r="B28" s="6" t="s">
        <v>125</v>
      </c>
      <c r="D28" s="5" t="s">
        <v>124</v>
      </c>
    </row>
    <row r="30" spans="1:8" x14ac:dyDescent="0.2">
      <c r="A30" s="3" t="s">
        <v>112</v>
      </c>
      <c r="B30" s="3" t="s">
        <v>50</v>
      </c>
      <c r="C30" s="3" t="s">
        <v>66</v>
      </c>
    </row>
    <row r="31" spans="1:8" x14ac:dyDescent="0.2">
      <c r="A31" s="5" t="s">
        <v>113</v>
      </c>
      <c r="B31" s="6" t="s">
        <v>114</v>
      </c>
      <c r="C31" s="9">
        <v>0</v>
      </c>
      <c r="D31" s="5" t="s">
        <v>113</v>
      </c>
    </row>
    <row r="32" spans="1:8" x14ac:dyDescent="0.2">
      <c r="A32" s="5" t="s">
        <v>115</v>
      </c>
      <c r="B32" s="6" t="s">
        <v>116</v>
      </c>
      <c r="C32" s="11">
        <v>40.180000000000007</v>
      </c>
      <c r="D32" s="5" t="s">
        <v>115</v>
      </c>
    </row>
    <row r="33" spans="1:4" x14ac:dyDescent="0.2">
      <c r="A33" s="5" t="s">
        <v>117</v>
      </c>
      <c r="B33" s="6" t="s">
        <v>118</v>
      </c>
      <c r="C33" s="11">
        <v>40.180000000000007</v>
      </c>
      <c r="D33" s="5" t="s">
        <v>117</v>
      </c>
    </row>
    <row r="34" spans="1:4" x14ac:dyDescent="0.2">
      <c r="C34" s="11"/>
    </row>
    <row r="35" spans="1:4" x14ac:dyDescent="0.2">
      <c r="C35" s="11"/>
    </row>
    <row r="36" spans="1:4" x14ac:dyDescent="0.2">
      <c r="C36" s="11"/>
    </row>
    <row r="37" spans="1:4" x14ac:dyDescent="0.2">
      <c r="C37" s="11"/>
    </row>
    <row r="38" spans="1:4" x14ac:dyDescent="0.2">
      <c r="C38" s="11"/>
    </row>
    <row r="39" spans="1:4" x14ac:dyDescent="0.2">
      <c r="C39" s="9"/>
    </row>
    <row r="41" spans="1:4" x14ac:dyDescent="0.2">
      <c r="A41" s="3"/>
      <c r="B41" s="3"/>
      <c r="C41" s="3"/>
    </row>
    <row r="47" spans="1:4" x14ac:dyDescent="0.2">
      <c r="B47" s="5"/>
    </row>
    <row r="48" spans="1:4" x14ac:dyDescent="0.2">
      <c r="B48" s="5"/>
    </row>
    <row r="49" spans="2:5" x14ac:dyDescent="0.2">
      <c r="B49" s="5"/>
    </row>
    <row r="50" spans="2:5" x14ac:dyDescent="0.2">
      <c r="B50" s="5"/>
    </row>
    <row r="51" spans="2:5" x14ac:dyDescent="0.2">
      <c r="B51" s="5"/>
    </row>
    <row r="52" spans="2:5" x14ac:dyDescent="0.2">
      <c r="B52" s="5"/>
    </row>
    <row r="53" spans="2:5" x14ac:dyDescent="0.2">
      <c r="B53" s="5"/>
      <c r="E53" s="10"/>
    </row>
    <row r="54" spans="2:5" x14ac:dyDescent="0.2">
      <c r="B54" s="5"/>
      <c r="E54" s="10"/>
    </row>
    <row r="55" spans="2:5" x14ac:dyDescent="0.2">
      <c r="B55" s="5"/>
      <c r="E55" s="10"/>
    </row>
    <row r="56" spans="2:5" x14ac:dyDescent="0.2">
      <c r="B56" s="5"/>
      <c r="E56" s="10"/>
    </row>
    <row r="57" spans="2:5" x14ac:dyDescent="0.2">
      <c r="B57" s="5"/>
      <c r="E57" s="10"/>
    </row>
    <row r="58" spans="2:5" x14ac:dyDescent="0.2">
      <c r="B58" s="5"/>
      <c r="E58" s="10"/>
    </row>
    <row r="59" spans="2:5" x14ac:dyDescent="0.2">
      <c r="B59" s="5"/>
      <c r="E59" s="10"/>
    </row>
    <row r="60" spans="2:5" x14ac:dyDescent="0.2">
      <c r="B60" s="5"/>
      <c r="E60" s="10"/>
    </row>
    <row r="61" spans="2:5" x14ac:dyDescent="0.2">
      <c r="B61" s="5"/>
      <c r="E61" s="10"/>
    </row>
    <row r="62" spans="2:5" x14ac:dyDescent="0.2">
      <c r="B62" s="5"/>
      <c r="E62" s="10"/>
    </row>
    <row r="63" spans="2:5" x14ac:dyDescent="0.2">
      <c r="B63" s="5"/>
      <c r="E63" s="10"/>
    </row>
    <row r="64" spans="2:5" x14ac:dyDescent="0.2">
      <c r="B64" s="5"/>
      <c r="E64" s="10"/>
    </row>
    <row r="66" spans="1:2" x14ac:dyDescent="0.2">
      <c r="A66" s="3" t="s">
        <v>119</v>
      </c>
    </row>
    <row r="67" spans="1:2" x14ac:dyDescent="0.2">
      <c r="A67" s="5" t="s">
        <v>120</v>
      </c>
      <c r="B67" s="6" t="s">
        <v>121</v>
      </c>
    </row>
    <row r="68" spans="1:2" x14ac:dyDescent="0.2">
      <c r="A68" s="5" t="s">
        <v>122</v>
      </c>
      <c r="B68" s="6" t="s">
        <v>123</v>
      </c>
    </row>
  </sheetData>
  <mergeCells count="1">
    <mergeCell ref="E8:H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IDs</vt:lpstr>
      <vt:lpstr>Key</vt:lpstr>
      <vt:lpstr>FIELDBUS</vt:lpstr>
      <vt:lpstr>MODULE</vt:lpstr>
      <vt:lpstr>PHASE</vt:lpstr>
      <vt:lpstr>POWER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Erickson, Steven - Lenze</cp:lastModifiedBy>
  <cp:revision>1</cp:revision>
  <dcterms:created xsi:type="dcterms:W3CDTF">2022-09-13T12:32:48Z</dcterms:created>
  <dcterms:modified xsi:type="dcterms:W3CDTF">2022-09-16T20:07:31Z</dcterms:modified>
  <cp:category/>
</cp:coreProperties>
</file>